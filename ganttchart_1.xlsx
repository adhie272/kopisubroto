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29f44525bc2eb71f/Dokumen/"/>
    </mc:Choice>
  </mc:AlternateContent>
  <xr:revisionPtr revIDLastSave="160" documentId="8_{C6923BAE-C6A6-406C-B4AD-D17F89BDA107}" xr6:coauthVersionLast="47" xr6:coauthVersionMax="47" xr10:uidLastSave="{B6C1E70A-8857-4A93-9A7E-AD8B645A78CA}"/>
  <bookViews>
    <workbookView xWindow="-110" yWindow="-110" windowWidth="19420" windowHeight="122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1" l="1"/>
  <c r="E19" i="11"/>
  <c r="Q1" i="11"/>
  <c r="I5" i="11" s="1"/>
  <c r="H7" i="11"/>
  <c r="H8" i="11"/>
  <c r="F9" i="11"/>
  <c r="H9" i="11"/>
  <c r="F11" i="11"/>
  <c r="H11" i="11" s="1"/>
  <c r="H12" i="11"/>
  <c r="F13" i="11"/>
  <c r="H13" i="11" s="1"/>
  <c r="E15" i="11"/>
  <c r="F15" i="11" s="1"/>
  <c r="F17" i="11"/>
  <c r="H17" i="11"/>
  <c r="H18" i="11"/>
  <c r="F21" i="11"/>
  <c r="H19" i="11" l="1"/>
  <c r="I6" i="11"/>
  <c r="J5" i="11"/>
  <c r="J6" i="11" s="1"/>
  <c r="H15" i="11"/>
  <c r="I4" i="11"/>
  <c r="E23" i="11"/>
  <c r="K5" i="11" l="1"/>
  <c r="L5" i="11" s="1"/>
  <c r="M5" i="11" s="1"/>
  <c r="K6" i="11"/>
  <c r="L6" i="11"/>
  <c r="N5" i="11"/>
  <c r="M6" i="11"/>
  <c r="F23" i="11"/>
  <c r="H23" i="11" s="1"/>
  <c r="H25" i="11"/>
  <c r="H24" i="11"/>
  <c r="H20" i="11"/>
  <c r="O5" i="11" l="1"/>
  <c r="N6" i="11"/>
  <c r="P5" i="11" l="1"/>
  <c r="O6" i="11"/>
  <c r="P6" i="11" l="1"/>
  <c r="P4" i="11"/>
  <c r="Q5" i="11"/>
  <c r="Q6" i="11" l="1"/>
  <c r="R5" i="11"/>
  <c r="R6" i="11" l="1"/>
  <c r="S5" i="11"/>
  <c r="T5" i="11" l="1"/>
  <c r="S6" i="11"/>
  <c r="T6" i="11" l="1"/>
  <c r="U5" i="11"/>
  <c r="U6" i="11" l="1"/>
  <c r="V5" i="11"/>
  <c r="V6" i="11" l="1"/>
  <c r="W5" i="11"/>
  <c r="X5" i="11" l="1"/>
  <c r="W4" i="11"/>
  <c r="W6" i="11"/>
  <c r="X6" i="11" l="1"/>
  <c r="Y5" i="11"/>
  <c r="Z5" i="11" l="1"/>
  <c r="Y6" i="11"/>
  <c r="AA5" i="11" l="1"/>
  <c r="Z6" i="11"/>
  <c r="AB5" i="11" l="1"/>
  <c r="AA6" i="11"/>
  <c r="AB6" i="11" l="1"/>
  <c r="AC5" i="11"/>
  <c r="AC6" i="11" l="1"/>
  <c r="AD5" i="11"/>
  <c r="AD6" i="11" l="1"/>
  <c r="AD4" i="11"/>
  <c r="AE5" i="11"/>
  <c r="AE6" i="11" l="1"/>
  <c r="AF5" i="11"/>
  <c r="AF6" i="11" l="1"/>
  <c r="AG5" i="11"/>
  <c r="AG6" i="11" l="1"/>
  <c r="AH5" i="11"/>
  <c r="AH6" i="11" l="1"/>
  <c r="AI5" i="11"/>
  <c r="AJ5" i="11" l="1"/>
  <c r="AI6" i="11"/>
  <c r="AK5" i="11" l="1"/>
  <c r="AJ6" i="11"/>
  <c r="AL5" i="11" l="1"/>
  <c r="AK4" i="11"/>
  <c r="AK6" i="11"/>
  <c r="AM5" i="11" l="1"/>
  <c r="AL6" i="11"/>
  <c r="AN5" i="11" l="1"/>
  <c r="AM6" i="11"/>
  <c r="AN6" i="11" l="1"/>
  <c r="AO5" i="11"/>
  <c r="AP5" i="11" l="1"/>
  <c r="AO6" i="11"/>
  <c r="AP6" i="11" l="1"/>
  <c r="AQ5" i="11"/>
  <c r="AQ6" i="11" l="1"/>
  <c r="AR5" i="11"/>
  <c r="AR6" i="11" l="1"/>
  <c r="AR4" i="11"/>
  <c r="AS5" i="11"/>
  <c r="AT5" i="11" l="1"/>
  <c r="AS6" i="11"/>
  <c r="AT6" i="11" l="1"/>
  <c r="AU5" i="11"/>
  <c r="AV5" i="11" l="1"/>
  <c r="AU6" i="11"/>
  <c r="AV6" i="11" l="1"/>
  <c r="AW5" i="11"/>
  <c r="AX5" i="11" l="1"/>
  <c r="AW6" i="11"/>
  <c r="AY5" i="11" l="1"/>
  <c r="AX6" i="11"/>
  <c r="AZ5" i="11" l="1"/>
  <c r="AY6" i="11"/>
  <c r="AY4" i="11"/>
  <c r="AZ6" i="11" l="1"/>
  <c r="BA5" i="11"/>
  <c r="BA6" i="11" l="1"/>
  <c r="BB5" i="11"/>
  <c r="BB6" i="11" l="1"/>
  <c r="BC5" i="11"/>
  <c r="BC6" i="11" l="1"/>
  <c r="BD5" i="11"/>
  <c r="BD6" i="11" l="1"/>
  <c r="BE5" i="11"/>
  <c r="BE6" i="11" l="1"/>
  <c r="BF5" i="11"/>
  <c r="BF6" i="11" l="1"/>
  <c r="BF4" i="11"/>
  <c r="BG5" i="11"/>
  <c r="BH5" i="11" l="1"/>
  <c r="BG6" i="11"/>
  <c r="BI5" i="11" l="1"/>
  <c r="BH6" i="11"/>
  <c r="BJ5" i="11" l="1"/>
  <c r="BI6" i="11"/>
  <c r="BK5" i="11" l="1"/>
  <c r="BJ6" i="11"/>
  <c r="BL5" i="11" l="1"/>
  <c r="BL6" i="11" s="1"/>
  <c r="BK6" i="11"/>
</calcChain>
</file>

<file path=xl/sharedStrings.xml><?xml version="1.0" encoding="utf-8"?>
<sst xmlns="http://schemas.openxmlformats.org/spreadsheetml/2006/main" count="45" uniqueCount="41">
  <si>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</si>
  <si>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</si>
  <si>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</si>
  <si>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</si>
  <si>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</si>
  <si>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</si>
  <si>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</si>
  <si>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</si>
  <si>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</si>
  <si>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</si>
  <si>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</si>
  <si>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</si>
  <si>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</si>
  <si>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</si>
  <si>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</si>
  <si>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</si>
  <si>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</si>
  <si>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</si>
  <si>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</si>
  <si>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</si>
  <si>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</si>
  <si>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</si>
  <si>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</si>
  <si>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Project Kopi Subroto</t>
  </si>
  <si>
    <t>FrontEnd</t>
  </si>
  <si>
    <t>Sistem Analis</t>
  </si>
  <si>
    <t>BackEnd</t>
  </si>
  <si>
    <t>QA Testing</t>
  </si>
  <si>
    <t>Menganalisis Kebutuhan Sistem</t>
  </si>
  <si>
    <t>Adi Maulana</t>
  </si>
  <si>
    <t>Arsitektur Sistem</t>
  </si>
  <si>
    <t>M.Alvin</t>
  </si>
  <si>
    <t>Membuat UI</t>
  </si>
  <si>
    <t>Jopan Maurizt L.</t>
  </si>
  <si>
    <t>Menmbuat Fitur Chekout</t>
  </si>
  <si>
    <t xml:space="preserve">Anggraeni Ghea </t>
  </si>
  <si>
    <t>Testing fitur chekout</t>
  </si>
  <si>
    <t>Testing fitur Daftar Menu</t>
  </si>
  <si>
    <t xml:space="preserve"> fitur login</t>
  </si>
  <si>
    <t>Keysa Aprilia S</t>
  </si>
  <si>
    <t>Membuat Landing Page &amp; Daftar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</si>
</sst>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8" tint="0.399975585192419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19" xfId="0" applyNumberFormat="1" applyFont="1" applyFill="1" applyBorder="1" applyAlignment="1">
      <alignment horizontal="center" vertical="center"/>
    </xf>
    <xf numFmtId="167" fontId="21" fillId="12" borderId="17"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30" fillId="0" borderId="0" xfId="5" applyFont="1" applyAlignment="1">
      <alignment horizontal="left"/>
    </xf>
    <xf numFmtId="0" fontId="19" fillId="3" borderId="6" xfId="11" applyFont="1" applyFill="1" applyBorder="1">
      <alignment horizontal="center" vertical="center"/>
    </xf>
    <xf numFmtId="0" fontId="19" fillId="4" borderId="5" xfId="11" applyFont="1" applyFill="1" applyBorder="1">
      <alignment horizontal="center" vertical="center"/>
    </xf>
    <xf numFmtId="0" fontId="4" fillId="3" borderId="4" xfId="0" applyFont="1" applyFill="1" applyBorder="1" applyAlignment="1">
      <alignment vertical="center"/>
    </xf>
    <xf numFmtId="0" fontId="4" fillId="13" borderId="4" xfId="0" applyFont="1" applyFill="1" applyBorder="1" applyAlignment="1">
      <alignment vertical="center"/>
    </xf>
    <xf numFmtId="0" fontId="4" fillId="14" borderId="10" xfId="0" applyFont="1" applyFill="1" applyBorder="1" applyAlignment="1">
      <alignment vertical="center"/>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0" fontId="20" fillId="11" borderId="15"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5" xfId="0" applyFont="1" applyFill="1" applyBorder="1" applyAlignment="1">
      <alignment horizontal="left" vertical="center" indent="1"/>
    </xf>
    <xf numFmtId="0" fontId="20" fillId="11" borderId="15" xfId="0" applyFont="1" applyFill="1" applyBorder="1" applyAlignment="1">
      <alignment vertical="center"/>
    </xf>
    <xf numFmtId="0" fontId="20" fillId="11" borderId="20" xfId="0" applyFont="1" applyFill="1" applyBorder="1" applyAlignment="1">
      <alignment horizontal="center" vertical="center"/>
    </xf>
    <xf numFmtId="0" fontId="20" fillId="11" borderId="20" xfId="0" applyFont="1" applyFill="1" applyBorder="1" applyAlignment="1">
      <alignment vertical="center"/>
    </xf>
    <xf numFmtId="0" fontId="20" fillId="11" borderId="20" xfId="0" applyFont="1" applyFill="1" applyBorder="1" applyAlignment="1">
      <alignment horizontal="left" vertical="center" indent="1"/>
    </xf>
    <xf numFmtId="166" fontId="19" fillId="2" borderId="19" xfId="0" applyNumberFormat="1" applyFont="1" applyFill="1" applyBorder="1" applyAlignment="1">
      <alignment horizontal="center" vertical="center" wrapText="1"/>
    </xf>
    <xf numFmtId="0" fontId="19" fillId="5" borderId="8" xfId="11" applyFont="1" applyFill="1" applyBorder="1" applyAlignment="1">
      <alignment horizontal="center" vertical="center"/>
    </xf>
    <xf numFmtId="0" fontId="19" fillId="10" borderId="9" xfId="11" applyFont="1" applyFill="1" applyBorder="1" applyAlignment="1">
      <alignment horizontal="center" vertical="center"/>
    </xf>
    <xf numFmtId="0" fontId="4" fillId="13" borderId="10" xfId="0" applyFont="1" applyFill="1" applyBorder="1" applyAlignment="1">
      <alignment vertical="center"/>
    </xf>
  </cellXfs>
  <cellStyles count="13">
    <cellStyle name="Date" xfId="10" xr:uid="{229918B6-DD13-4F5A-97B9-305F7E002AA3}"/>
    <cellStyle name="Hipertaut" xfId="1" builtinId="8" customBuiltin="1"/>
    <cellStyle name="Judul" xfId="5" builtinId="15" customBuiltin="1"/>
    <cellStyle name="Judul 1" xfId="6" builtinId="16" customBuiltin="1"/>
    <cellStyle name="Judul 2" xfId="7" builtinId="17" customBuiltin="1"/>
    <cellStyle name="Judul 3" xfId="8" builtinId="18" customBuiltin="1"/>
    <cellStyle name="Koma" xfId="4" builtinId="3" customBuiltin="1"/>
    <cellStyle name="Name" xfId="11" xr:uid="{B2D3C1EE-6B41-4801-AAFC-C2274E49E503}"/>
    <cellStyle name="Normal" xfId="0" builtinId="0"/>
    <cellStyle name="Persen" xfId="2" builtinId="5"/>
    <cellStyle name="Project Start" xfId="9" xr:uid="{8EB8A09A-C31C-40A3-B2C1-9449520178B8}"/>
    <cellStyle name="Task" xfId="12" xr:uid="{6391D789-272B-4DD2-9BF3-2CDCF610FA4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8"/>
  <sheetViews>
    <sheetView showGridLines="0" tabSelected="1" showRuler="0" topLeftCell="B3" zoomScale="79" zoomScaleNormal="67" zoomScalePageLayoutView="70" workbookViewId="0">
      <selection activeCell="U22" sqref="U22"/>
    </sheetView>
  </sheetViews>
  <sheetFormatPr defaultColWidth="8.6640625" defaultRowHeight="30" customHeight="1" x14ac:dyDescent="0.3"/>
  <cols>
    <col min="1" max="1" width="2.6640625" style="13" customWidth="1"/>
    <col min="2" max="2" width="43.91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1.1000000000000001">
      <c r="A1" s="14"/>
      <c r="B1" s="101" t="s">
        <v>23</v>
      </c>
      <c r="C1" s="18"/>
      <c r="D1" s="19"/>
      <c r="E1" s="20"/>
      <c r="F1" s="21"/>
      <c r="H1" s="1"/>
      <c r="I1" s="112" t="s">
        <v>20</v>
      </c>
      <c r="J1" s="112"/>
      <c r="K1" s="112"/>
      <c r="L1" s="112"/>
      <c r="M1" s="112"/>
      <c r="N1" s="112"/>
      <c r="O1" s="112"/>
      <c r="P1" s="24"/>
      <c r="Q1" s="111">
        <f>DATE(2026, 4, 10)</f>
        <v>46122</v>
      </c>
      <c r="R1" s="111"/>
      <c r="S1" s="111"/>
      <c r="T1" s="111"/>
      <c r="U1" s="111"/>
      <c r="V1" s="111"/>
      <c r="W1" s="111"/>
      <c r="X1" s="111"/>
      <c r="Y1" s="111"/>
      <c r="Z1" s="111"/>
    </row>
    <row r="2" spans="1:64" ht="30" customHeight="1" x14ac:dyDescent="0.7">
      <c r="B2" s="92" t="s">
        <v>29</v>
      </c>
      <c r="C2" s="93"/>
      <c r="D2" s="22"/>
      <c r="E2" s="23"/>
      <c r="F2" s="22"/>
      <c r="I2" s="112" t="s">
        <v>21</v>
      </c>
      <c r="J2" s="112"/>
      <c r="K2" s="112"/>
      <c r="L2" s="112"/>
      <c r="M2" s="112"/>
      <c r="N2" s="112"/>
      <c r="O2" s="112"/>
      <c r="P2" s="24"/>
      <c r="Q2" s="110">
        <v>1</v>
      </c>
      <c r="R2" s="110"/>
      <c r="S2" s="110"/>
      <c r="T2" s="110"/>
      <c r="U2" s="110"/>
      <c r="V2" s="110"/>
      <c r="W2" s="110"/>
      <c r="X2" s="110"/>
      <c r="Y2" s="110"/>
      <c r="Z2" s="110"/>
    </row>
    <row r="3" spans="1:64" s="26" customFormat="1" ht="30" customHeight="1" x14ac:dyDescent="0.3">
      <c r="A3" s="13"/>
      <c r="B3" s="25"/>
      <c r="D3" s="27"/>
      <c r="E3" s="28"/>
    </row>
    <row r="4" spans="1:64" s="26" customFormat="1" ht="30" customHeight="1" x14ac:dyDescent="0.3">
      <c r="A4" s="14"/>
      <c r="B4" s="29"/>
      <c r="E4" s="30"/>
      <c r="I4" s="119">
        <f>I5</f>
        <v>46118</v>
      </c>
      <c r="J4" s="119"/>
      <c r="K4" s="119"/>
      <c r="L4" s="119"/>
      <c r="M4" s="119"/>
      <c r="N4" s="119"/>
      <c r="O4" s="108"/>
      <c r="P4" s="107">
        <f>P5</f>
        <v>46125</v>
      </c>
      <c r="Q4" s="119"/>
      <c r="R4" s="119"/>
      <c r="S4" s="119"/>
      <c r="T4" s="119"/>
      <c r="U4" s="119"/>
      <c r="V4" s="108"/>
      <c r="W4" s="107">
        <f>W5</f>
        <v>46132</v>
      </c>
      <c r="X4" s="119"/>
      <c r="Y4" s="119"/>
      <c r="Z4" s="119"/>
      <c r="AA4" s="119"/>
      <c r="AB4" s="119"/>
      <c r="AC4" s="108"/>
      <c r="AD4" s="107">
        <f>AD5</f>
        <v>46139</v>
      </c>
      <c r="AE4" s="119"/>
      <c r="AF4" s="119"/>
      <c r="AG4" s="119"/>
      <c r="AH4" s="119"/>
      <c r="AI4" s="119"/>
      <c r="AJ4" s="108"/>
      <c r="AK4" s="107">
        <f>AK5</f>
        <v>46146</v>
      </c>
      <c r="AL4" s="119"/>
      <c r="AM4" s="119"/>
      <c r="AN4" s="119"/>
      <c r="AO4" s="119"/>
      <c r="AP4" s="119"/>
      <c r="AQ4" s="108"/>
      <c r="AR4" s="107">
        <f>AR5</f>
        <v>46153</v>
      </c>
      <c r="AS4" s="119"/>
      <c r="AT4" s="119"/>
      <c r="AU4" s="119"/>
      <c r="AV4" s="119"/>
      <c r="AW4" s="119"/>
      <c r="AX4" s="108"/>
      <c r="AY4" s="107">
        <f>AY5</f>
        <v>46160</v>
      </c>
      <c r="AZ4" s="119"/>
      <c r="BA4" s="119"/>
      <c r="BB4" s="119"/>
      <c r="BC4" s="119"/>
      <c r="BD4" s="119"/>
      <c r="BE4" s="108"/>
      <c r="BF4" s="107">
        <f>BF5</f>
        <v>46167</v>
      </c>
      <c r="BG4" s="119"/>
      <c r="BH4" s="119"/>
      <c r="BI4" s="119"/>
      <c r="BJ4" s="119"/>
      <c r="BK4" s="119"/>
      <c r="BL4" s="119"/>
    </row>
    <row r="5" spans="1:64" s="26" customFormat="1" ht="15" customHeight="1" x14ac:dyDescent="0.3">
      <c r="A5" s="113"/>
      <c r="B5" s="114" t="s">
        <v>5</v>
      </c>
      <c r="C5" s="115" t="s">
        <v>22</v>
      </c>
      <c r="D5" s="109" t="s">
        <v>1</v>
      </c>
      <c r="E5" s="109" t="s">
        <v>3</v>
      </c>
      <c r="F5" s="109" t="s">
        <v>4</v>
      </c>
      <c r="I5" s="31">
        <f>Project_Start-WEEKDAY(Project_Start,1)+2+7*(Display_Week-1)</f>
        <v>46118</v>
      </c>
      <c r="J5" s="31">
        <f>I5+1</f>
        <v>46119</v>
      </c>
      <c r="K5" s="31">
        <f t="shared" ref="K5:AX5" si="0">J5+1</f>
        <v>46120</v>
      </c>
      <c r="L5" s="31">
        <f t="shared" si="0"/>
        <v>46121</v>
      </c>
      <c r="M5" s="31">
        <f t="shared" si="0"/>
        <v>46122</v>
      </c>
      <c r="N5" s="31">
        <f t="shared" si="0"/>
        <v>46123</v>
      </c>
      <c r="O5" s="32">
        <f t="shared" si="0"/>
        <v>46124</v>
      </c>
      <c r="P5" s="33">
        <f>O5+1</f>
        <v>46125</v>
      </c>
      <c r="Q5" s="31">
        <f>P5+1</f>
        <v>46126</v>
      </c>
      <c r="R5" s="31">
        <f t="shared" si="0"/>
        <v>46127</v>
      </c>
      <c r="S5" s="31">
        <f t="shared" si="0"/>
        <v>46128</v>
      </c>
      <c r="T5" s="31">
        <f t="shared" si="0"/>
        <v>46129</v>
      </c>
      <c r="U5" s="31">
        <f t="shared" si="0"/>
        <v>46130</v>
      </c>
      <c r="V5" s="32">
        <f t="shared" si="0"/>
        <v>46131</v>
      </c>
      <c r="W5" s="33">
        <f>V5+1</f>
        <v>46132</v>
      </c>
      <c r="X5" s="31">
        <f>W5+1</f>
        <v>46133</v>
      </c>
      <c r="Y5" s="31">
        <f t="shared" si="0"/>
        <v>46134</v>
      </c>
      <c r="Z5" s="31">
        <f t="shared" si="0"/>
        <v>46135</v>
      </c>
      <c r="AA5" s="31">
        <f t="shared" si="0"/>
        <v>46136</v>
      </c>
      <c r="AB5" s="31">
        <f t="shared" si="0"/>
        <v>46137</v>
      </c>
      <c r="AC5" s="32">
        <f t="shared" si="0"/>
        <v>46138</v>
      </c>
      <c r="AD5" s="33">
        <f>AC5+1</f>
        <v>46139</v>
      </c>
      <c r="AE5" s="31">
        <f>AD5+1</f>
        <v>46140</v>
      </c>
      <c r="AF5" s="31">
        <f t="shared" si="0"/>
        <v>46141</v>
      </c>
      <c r="AG5" s="31">
        <f t="shared" si="0"/>
        <v>46142</v>
      </c>
      <c r="AH5" s="31">
        <f t="shared" si="0"/>
        <v>46143</v>
      </c>
      <c r="AI5" s="31">
        <f t="shared" si="0"/>
        <v>46144</v>
      </c>
      <c r="AJ5" s="32">
        <f t="shared" si="0"/>
        <v>46145</v>
      </c>
      <c r="AK5" s="33">
        <f>AJ5+1</f>
        <v>46146</v>
      </c>
      <c r="AL5" s="31">
        <f>AK5+1</f>
        <v>46147</v>
      </c>
      <c r="AM5" s="31">
        <f t="shared" si="0"/>
        <v>46148</v>
      </c>
      <c r="AN5" s="31">
        <f t="shared" si="0"/>
        <v>46149</v>
      </c>
      <c r="AO5" s="31">
        <f t="shared" si="0"/>
        <v>46150</v>
      </c>
      <c r="AP5" s="31">
        <f t="shared" si="0"/>
        <v>46151</v>
      </c>
      <c r="AQ5" s="32">
        <f t="shared" si="0"/>
        <v>46152</v>
      </c>
      <c r="AR5" s="33">
        <f>AQ5+1</f>
        <v>46153</v>
      </c>
      <c r="AS5" s="31">
        <f>AR5+1</f>
        <v>46154</v>
      </c>
      <c r="AT5" s="31">
        <f t="shared" si="0"/>
        <v>46155</v>
      </c>
      <c r="AU5" s="31">
        <f t="shared" si="0"/>
        <v>46156</v>
      </c>
      <c r="AV5" s="31">
        <f t="shared" si="0"/>
        <v>46157</v>
      </c>
      <c r="AW5" s="31">
        <f t="shared" si="0"/>
        <v>46158</v>
      </c>
      <c r="AX5" s="32">
        <f t="shared" si="0"/>
        <v>46159</v>
      </c>
      <c r="AY5" s="33">
        <f>AX5+1</f>
        <v>46160</v>
      </c>
      <c r="AZ5" s="31">
        <f>AY5+1</f>
        <v>46161</v>
      </c>
      <c r="BA5" s="31">
        <f t="shared" ref="BA5:BE5" si="1">AZ5+1</f>
        <v>46162</v>
      </c>
      <c r="BB5" s="31">
        <f t="shared" si="1"/>
        <v>46163</v>
      </c>
      <c r="BC5" s="31">
        <f t="shared" si="1"/>
        <v>46164</v>
      </c>
      <c r="BD5" s="31">
        <f t="shared" si="1"/>
        <v>46165</v>
      </c>
      <c r="BE5" s="32">
        <f t="shared" si="1"/>
        <v>46166</v>
      </c>
      <c r="BF5" s="33">
        <f>BE5+1</f>
        <v>46167</v>
      </c>
      <c r="BG5" s="31">
        <f>BF5+1</f>
        <v>46168</v>
      </c>
      <c r="BH5" s="31">
        <f t="shared" ref="BH5:BL5" si="2">BG5+1</f>
        <v>46169</v>
      </c>
      <c r="BI5" s="31">
        <f t="shared" si="2"/>
        <v>46170</v>
      </c>
      <c r="BJ5" s="31">
        <f t="shared" si="2"/>
        <v>46171</v>
      </c>
      <c r="BK5" s="31">
        <f t="shared" si="2"/>
        <v>46172</v>
      </c>
      <c r="BL5" s="31">
        <f t="shared" si="2"/>
        <v>46173</v>
      </c>
    </row>
    <row r="6" spans="1:64" s="26" customFormat="1" ht="15" customHeight="1" thickBot="1" x14ac:dyDescent="0.35">
      <c r="A6" s="113"/>
      <c r="B6" s="118"/>
      <c r="C6" s="117"/>
      <c r="D6" s="116"/>
      <c r="E6" s="116"/>
      <c r="F6" s="116"/>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5">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5">
      <c r="A8" s="14"/>
      <c r="B8" s="40" t="s">
        <v>25</v>
      </c>
      <c r="C8" s="41"/>
      <c r="D8" s="42"/>
      <c r="E8" s="43"/>
      <c r="F8" s="44"/>
      <c r="G8" s="17"/>
      <c r="H8" s="5" t="str">
        <f t="shared" ref="H8:H25"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5">
      <c r="A9" s="14"/>
      <c r="B9" s="47" t="s">
        <v>28</v>
      </c>
      <c r="C9" s="102" t="s">
        <v>31</v>
      </c>
      <c r="D9" s="48">
        <v>0.7</v>
      </c>
      <c r="E9" s="49">
        <v>46124</v>
      </c>
      <c r="F9" s="49">
        <f>E9+11</f>
        <v>46135</v>
      </c>
      <c r="G9" s="17"/>
      <c r="H9" s="5">
        <f t="shared" si="5"/>
        <v>12</v>
      </c>
      <c r="I9" s="50"/>
      <c r="J9" s="50"/>
      <c r="K9" s="50"/>
      <c r="L9" s="50"/>
      <c r="M9" s="105"/>
      <c r="N9" s="105"/>
      <c r="O9" s="104"/>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6" customFormat="1" ht="30" customHeight="1" thickBot="1" x14ac:dyDescent="0.35">
      <c r="A10" s="14"/>
      <c r="B10" s="47"/>
      <c r="C10" s="102"/>
      <c r="D10" s="48"/>
      <c r="E10" s="49"/>
      <c r="F10" s="49"/>
      <c r="G10" s="17"/>
      <c r="H10" s="5"/>
      <c r="I10" s="50"/>
      <c r="J10" s="50"/>
      <c r="K10" s="50"/>
      <c r="L10" s="50"/>
      <c r="M10" s="105"/>
      <c r="N10" s="105"/>
      <c r="O10" s="105"/>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6" customFormat="1" ht="30" customHeight="1" thickBot="1" x14ac:dyDescent="0.35">
      <c r="A11" s="14"/>
      <c r="B11" s="51" t="s">
        <v>30</v>
      </c>
      <c r="C11" s="102" t="s">
        <v>31</v>
      </c>
      <c r="D11" s="52">
        <v>0.5</v>
      </c>
      <c r="E11" s="53">
        <v>46128</v>
      </c>
      <c r="F11" s="53">
        <f>E11+5</f>
        <v>46133</v>
      </c>
      <c r="G11" s="17"/>
      <c r="H11" s="5">
        <f t="shared" si="5"/>
        <v>6</v>
      </c>
      <c r="I11" s="50"/>
      <c r="J11" s="50"/>
      <c r="K11" s="50"/>
      <c r="L11" s="50"/>
      <c r="M11" s="50"/>
      <c r="N11" s="50"/>
      <c r="O11" s="50"/>
      <c r="P11" s="50"/>
      <c r="Q11" s="50"/>
      <c r="R11" s="50"/>
      <c r="S11" s="50"/>
      <c r="T11" s="50"/>
      <c r="U11" s="54"/>
      <c r="V11" s="54"/>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6" customFormat="1" ht="30" customHeight="1" thickBot="1" x14ac:dyDescent="0.35">
      <c r="A12" s="14"/>
      <c r="B12" s="55" t="s">
        <v>24</v>
      </c>
      <c r="C12" s="56"/>
      <c r="D12" s="57"/>
      <c r="E12" s="58"/>
      <c r="F12" s="59"/>
      <c r="G12" s="17"/>
      <c r="H12" s="5" t="str">
        <f t="shared" si="5"/>
        <v/>
      </c>
    </row>
    <row r="13" spans="1:64" s="46" customFormat="1" ht="30" customHeight="1" thickBot="1" x14ac:dyDescent="0.35">
      <c r="A13" s="14"/>
      <c r="B13" s="60" t="s">
        <v>32</v>
      </c>
      <c r="C13" s="103" t="s">
        <v>33</v>
      </c>
      <c r="D13" s="61">
        <v>0.25</v>
      </c>
      <c r="E13" s="62">
        <v>46134</v>
      </c>
      <c r="F13" s="62">
        <f>E13+6</f>
        <v>46140</v>
      </c>
      <c r="G13" s="17"/>
      <c r="H13" s="5">
        <f t="shared" si="5"/>
        <v>7</v>
      </c>
      <c r="I13" s="50"/>
      <c r="J13" s="50"/>
      <c r="K13" s="50"/>
      <c r="L13" s="50"/>
      <c r="M13" s="105"/>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6" customFormat="1" ht="30" customHeight="1" thickBot="1" x14ac:dyDescent="0.35">
      <c r="A14" s="14"/>
      <c r="B14" s="60"/>
      <c r="C14" s="103"/>
      <c r="D14" s="61"/>
      <c r="E14" s="62"/>
      <c r="F14" s="62"/>
      <c r="G14" s="17"/>
      <c r="H14" s="5"/>
      <c r="I14" s="50"/>
      <c r="J14" s="50"/>
      <c r="K14" s="50"/>
      <c r="L14" s="50"/>
      <c r="M14" s="105"/>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row>
    <row r="15" spans="1:64" s="46" customFormat="1" ht="30" customHeight="1" thickBot="1" x14ac:dyDescent="0.35">
      <c r="A15" s="13"/>
      <c r="B15" s="60" t="s">
        <v>40</v>
      </c>
      <c r="C15" s="103" t="s">
        <v>33</v>
      </c>
      <c r="D15" s="61">
        <v>0.75</v>
      </c>
      <c r="E15" s="62">
        <f>E13+2</f>
        <v>46136</v>
      </c>
      <c r="F15" s="62">
        <f>E15+2</f>
        <v>46138</v>
      </c>
      <c r="G15" s="17"/>
      <c r="H15" s="5">
        <f t="shared" si="5"/>
        <v>3</v>
      </c>
      <c r="I15" s="50"/>
      <c r="J15" s="50"/>
      <c r="K15" s="50"/>
      <c r="L15" s="50"/>
      <c r="M15" s="50"/>
      <c r="N15" s="105"/>
      <c r="O15" s="50"/>
      <c r="P15" s="50"/>
      <c r="Q15" s="50"/>
      <c r="R15" s="50"/>
      <c r="S15" s="50"/>
      <c r="T15" s="50"/>
      <c r="U15" s="54"/>
      <c r="V15" s="54"/>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6" customFormat="1" ht="30" customHeight="1" thickBot="1" x14ac:dyDescent="0.35">
      <c r="A16" s="13"/>
      <c r="B16" s="60"/>
      <c r="C16" s="103"/>
      <c r="D16" s="61"/>
      <c r="E16" s="62"/>
      <c r="F16" s="62"/>
      <c r="G16" s="17"/>
      <c r="H16" s="5"/>
      <c r="I16" s="50"/>
      <c r="J16" s="50"/>
      <c r="K16" s="50"/>
      <c r="L16" s="50"/>
      <c r="M16" s="50"/>
      <c r="N16" s="105"/>
      <c r="O16" s="50"/>
      <c r="P16" s="50"/>
      <c r="Q16" s="50"/>
      <c r="R16" s="50"/>
      <c r="S16" s="50"/>
      <c r="T16" s="50"/>
      <c r="U16" s="54"/>
      <c r="V16" s="54"/>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6" customFormat="1" ht="30" customHeight="1" thickBot="1" x14ac:dyDescent="0.35">
      <c r="A17" s="13"/>
      <c r="B17" s="60" t="s">
        <v>34</v>
      </c>
      <c r="C17" s="103" t="s">
        <v>33</v>
      </c>
      <c r="D17" s="61">
        <v>0.5</v>
      </c>
      <c r="E17" s="62">
        <v>46137</v>
      </c>
      <c r="F17" s="62">
        <f>E17+2</f>
        <v>46139</v>
      </c>
      <c r="G17" s="17"/>
      <c r="H17" s="5">
        <f t="shared" si="5"/>
        <v>3</v>
      </c>
      <c r="I17" s="50"/>
      <c r="J17" s="50"/>
      <c r="K17" s="50"/>
      <c r="L17" s="50"/>
      <c r="M17" s="50"/>
      <c r="N17" s="50"/>
      <c r="O17" s="105"/>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6" customFormat="1" ht="30" customHeight="1" thickBot="1" x14ac:dyDescent="0.35">
      <c r="A18" s="13"/>
      <c r="B18" s="63" t="s">
        <v>26</v>
      </c>
      <c r="C18" s="64"/>
      <c r="D18" s="65"/>
      <c r="E18" s="66"/>
      <c r="F18" s="67"/>
      <c r="G18" s="17"/>
      <c r="H18" s="5" t="str">
        <f t="shared" si="5"/>
        <v/>
      </c>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row>
    <row r="19" spans="1:64" s="46" customFormat="1" ht="30" customHeight="1" thickBot="1" x14ac:dyDescent="0.35">
      <c r="A19" s="13"/>
      <c r="B19" s="69" t="s">
        <v>38</v>
      </c>
      <c r="C19" s="120" t="s">
        <v>39</v>
      </c>
      <c r="D19" s="70">
        <v>1</v>
      </c>
      <c r="E19" s="71">
        <f>E9+12</f>
        <v>46136</v>
      </c>
      <c r="F19" s="71">
        <f>E19+3</f>
        <v>46139</v>
      </c>
      <c r="G19" s="17"/>
      <c r="H19" s="5">
        <f t="shared"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6" customFormat="1" ht="30" customHeight="1" thickBot="1" x14ac:dyDescent="0.35">
      <c r="A20" s="13"/>
      <c r="B20" s="72" t="s">
        <v>27</v>
      </c>
      <c r="C20" s="73"/>
      <c r="D20" s="74"/>
      <c r="E20" s="75"/>
      <c r="F20" s="76"/>
      <c r="G20" s="17"/>
      <c r="H20" s="5" t="str">
        <f t="shared" si="5"/>
        <v/>
      </c>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row>
    <row r="21" spans="1:64" s="46" customFormat="1" ht="30" customHeight="1" thickBot="1" x14ac:dyDescent="0.35">
      <c r="A21" s="13"/>
      <c r="B21" s="78" t="s">
        <v>37</v>
      </c>
      <c r="C21" s="121" t="s">
        <v>35</v>
      </c>
      <c r="D21" s="74">
        <v>0.5</v>
      </c>
      <c r="E21" s="75">
        <v>46136</v>
      </c>
      <c r="F21" s="76">
        <f>E9+15</f>
        <v>46139</v>
      </c>
      <c r="G21" s="17"/>
      <c r="H21" s="5"/>
      <c r="I21" s="77"/>
      <c r="J21" s="77"/>
      <c r="K21" s="77"/>
      <c r="L21" s="77"/>
      <c r="M21" s="77"/>
      <c r="N21" s="77"/>
      <c r="O21" s="77"/>
      <c r="P21" s="77"/>
      <c r="Q21" s="77"/>
      <c r="R21" s="77"/>
      <c r="S21" s="77"/>
      <c r="T21" s="77"/>
      <c r="U21" s="77"/>
      <c r="V21" s="77"/>
      <c r="W21" s="77"/>
      <c r="X21" s="77"/>
      <c r="Y21" s="77"/>
      <c r="Z21" s="77"/>
      <c r="AA21" s="77"/>
      <c r="AB21" s="77"/>
      <c r="AC21" s="77"/>
      <c r="AD21" s="106"/>
      <c r="AE21" s="106"/>
      <c r="AF21" s="106"/>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row>
    <row r="22" spans="1:64" s="46" customFormat="1" ht="30" customHeight="1" thickBot="1" x14ac:dyDescent="0.35">
      <c r="A22" s="13"/>
      <c r="B22" s="78"/>
      <c r="C22" s="79"/>
      <c r="D22" s="74"/>
      <c r="E22" s="75"/>
      <c r="F22" s="76"/>
      <c r="G22" s="17"/>
      <c r="H22" s="5"/>
      <c r="I22" s="77"/>
      <c r="J22" s="77"/>
      <c r="K22" s="77"/>
      <c r="L22" s="77"/>
      <c r="M22" s="77"/>
      <c r="N22" s="77"/>
      <c r="O22" s="77"/>
      <c r="P22" s="77"/>
      <c r="Q22" s="77"/>
      <c r="R22" s="77"/>
      <c r="S22" s="77"/>
      <c r="T22" s="77"/>
      <c r="U22" s="77"/>
      <c r="V22" s="77"/>
      <c r="W22" s="77"/>
      <c r="X22" s="77"/>
      <c r="Y22" s="77"/>
      <c r="Z22" s="77"/>
      <c r="AA22" s="77"/>
      <c r="AB22" s="77"/>
      <c r="AC22" s="77"/>
      <c r="AD22" s="122"/>
      <c r="AE22" s="122"/>
      <c r="AF22" s="122"/>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row>
    <row r="23" spans="1:64" s="46" customFormat="1" ht="30" customHeight="1" thickBot="1" x14ac:dyDescent="0.35">
      <c r="A23" s="13"/>
      <c r="B23" s="78" t="s">
        <v>36</v>
      </c>
      <c r="C23" s="121" t="s">
        <v>35</v>
      </c>
      <c r="D23" s="80">
        <v>0.25</v>
      </c>
      <c r="E23" s="81">
        <f>E19+2</f>
        <v>46138</v>
      </c>
      <c r="F23" s="81">
        <f>E23+3</f>
        <v>46141</v>
      </c>
      <c r="G23" s="17"/>
      <c r="H23" s="5">
        <f t="shared" si="5"/>
        <v>4</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6" customFormat="1" ht="30" customHeight="1" thickBot="1" x14ac:dyDescent="0.35">
      <c r="A24" s="13"/>
      <c r="B24" s="82"/>
      <c r="C24" s="83"/>
      <c r="D24" s="84"/>
      <c r="E24" s="85"/>
      <c r="F24" s="85"/>
      <c r="G24" s="17"/>
      <c r="H24" s="5" t="str">
        <f t="shared" si="5"/>
        <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6" customFormat="1" ht="30" customHeight="1" thickBot="1" x14ac:dyDescent="0.35">
      <c r="A25" s="14"/>
      <c r="B25" s="86" t="s">
        <v>0</v>
      </c>
      <c r="C25" s="87"/>
      <c r="D25" s="88"/>
      <c r="E25" s="89"/>
      <c r="F25" s="90"/>
      <c r="G25" s="17"/>
      <c r="H25" s="6" t="str">
        <f t="shared" si="5"/>
        <v/>
      </c>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row>
    <row r="26" spans="1:64" ht="30" customHeight="1" x14ac:dyDescent="0.3">
      <c r="G26" s="3"/>
    </row>
    <row r="27" spans="1:64" ht="30" customHeight="1" x14ac:dyDescent="0.3">
      <c r="C27" s="16"/>
      <c r="F27" s="15"/>
    </row>
    <row r="28" spans="1:64" ht="30" customHeight="1" x14ac:dyDescent="0.3">
      <c r="C28"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5">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3">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19">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3:BL23">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0:A22"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5"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7" customWidth="1"/>
    <col min="2" max="16384" width="9" style="1"/>
  </cols>
  <sheetData>
    <row r="1" spans="1:2" ht="46.5" customHeight="1" x14ac:dyDescent="0.25"/>
    <row r="2" spans="1:2" s="9" customFormat="1" ht="15.5" x14ac:dyDescent="0.3">
      <c r="A2" s="94" t="s">
        <v>8</v>
      </c>
      <c r="B2" s="8"/>
    </row>
    <row r="3" spans="1:2" s="11" customFormat="1" ht="27" customHeight="1" x14ac:dyDescent="0.3">
      <c r="A3" s="95"/>
      <c r="B3" s="12"/>
    </row>
    <row r="4" spans="1:2" s="10" customFormat="1" ht="30.5" x14ac:dyDescent="0.85">
      <c r="A4" s="96" t="s">
        <v>7</v>
      </c>
    </row>
    <row r="5" spans="1:2" ht="74.25" customHeight="1" x14ac:dyDescent="0.25">
      <c r="A5" s="97" t="s">
        <v>15</v>
      </c>
    </row>
    <row r="6" spans="1:2" ht="26.25" customHeight="1" x14ac:dyDescent="0.25">
      <c r="A6" s="96" t="s">
        <v>18</v>
      </c>
    </row>
    <row r="7" spans="1:2" s="7" customFormat="1" ht="205" customHeight="1" x14ac:dyDescent="0.3">
      <c r="A7" s="98" t="s">
        <v>17</v>
      </c>
    </row>
    <row r="8" spans="1:2" s="10" customFormat="1" ht="30.5" x14ac:dyDescent="0.85">
      <c r="A8" s="96" t="s">
        <v>9</v>
      </c>
    </row>
    <row r="9" spans="1:2" ht="42" x14ac:dyDescent="0.25">
      <c r="A9" s="97" t="s">
        <v>16</v>
      </c>
    </row>
    <row r="10" spans="1:2" s="7" customFormat="1" ht="28" customHeight="1" x14ac:dyDescent="0.3">
      <c r="A10" s="99" t="s">
        <v>14</v>
      </c>
    </row>
    <row r="11" spans="1:2" s="10" customFormat="1" ht="30.5" x14ac:dyDescent="0.85">
      <c r="A11" s="96" t="s">
        <v>6</v>
      </c>
    </row>
    <row r="12" spans="1:2" ht="28" x14ac:dyDescent="0.25">
      <c r="A12" s="97" t="s">
        <v>13</v>
      </c>
    </row>
    <row r="13" spans="1:2" s="7" customFormat="1" ht="28" customHeight="1" x14ac:dyDescent="0.3">
      <c r="A13" s="99" t="s">
        <v>2</v>
      </c>
    </row>
    <row r="14" spans="1:2" s="10" customFormat="1" ht="30.5" x14ac:dyDescent="0.85">
      <c r="A14" s="96" t="s">
        <v>10</v>
      </c>
    </row>
    <row r="15" spans="1:2" ht="75" customHeight="1" x14ac:dyDescent="0.25">
      <c r="A15" s="97" t="s">
        <v>11</v>
      </c>
    </row>
    <row r="16" spans="1:2" ht="70" x14ac:dyDescent="0.25">
      <c r="A16" s="97" t="s">
        <v>12</v>
      </c>
    </row>
    <row r="17" spans="1:1" x14ac:dyDescent="0.25">
      <c r="A17" s="100"/>
    </row>
    <row r="18" spans="1:1" x14ac:dyDescent="0.25">
      <c r="A18" s="100"/>
    </row>
    <row r="19" spans="1:1" x14ac:dyDescent="0.25">
      <c r="A19" s="100"/>
    </row>
    <row r="20" spans="1:1" x14ac:dyDescent="0.25">
      <c r="A20" s="100"/>
    </row>
    <row r="21" spans="1:1" x14ac:dyDescent="0.25">
      <c r="A21" s="100"/>
    </row>
    <row r="22" spans="1:1" x14ac:dyDescent="0.25">
      <c r="A22" s="100"/>
    </row>
    <row r="23" spans="1:1" x14ac:dyDescent="0.25">
      <c r="A23" s="100"/>
    </row>
    <row r="24" spans="1:1" x14ac:dyDescent="0.25">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Lembar kerja</vt:lpstr>
      </vt:variant>
      <vt:variant>
        <vt:i4>2</vt:i4>
      </vt:variant>
      <vt:variant>
        <vt:lpstr>Rentang Bernama</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ADHIE MAULANA</dc:creator>
  <dc:description/>
  <cp:lastModifiedBy>ADHIE MAULANA</cp:lastModifiedBy>
  <dcterms:created xsi:type="dcterms:W3CDTF">2022-03-11T22:41:12Z</dcterms:created>
  <dcterms:modified xsi:type="dcterms:W3CDTF">2026-04-29T02:20:41Z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